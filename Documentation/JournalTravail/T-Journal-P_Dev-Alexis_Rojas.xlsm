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ETML\CFC\Pratique\Projets\P_Dev\P_SpaceInvaders\Documentation\JournalTravail\"/>
    </mc:Choice>
  </mc:AlternateContent>
  <xr:revisionPtr revIDLastSave="0" documentId="13_ncr:1_{9E8CE89E-EB3D-454C-81CD-174A138490B7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7" r:id="rId7"/>
  </sheets>
  <definedNames>
    <definedName name="datDateBegin">Donnees!$C$9</definedName>
    <definedName name="ListTasks" localSheetId="5">#REF!</definedName>
    <definedName name="ListTasks" localSheetId="6">#REF!</definedName>
    <definedName name="ListTasks">#REF!</definedName>
    <definedName name="lstTasks">Donnees!$C$20:$C$45</definedName>
    <definedName name="NbLessons" localSheetId="5">#REF!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2" i="156" l="1"/>
  <c r="D283" i="156"/>
  <c r="B265" i="157"/>
  <c r="B251" i="157"/>
  <c r="B237" i="157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D1" i="156" l="1"/>
  <c r="D20" i="156" s="1"/>
  <c r="D39" i="156" s="1"/>
  <c r="D58" i="156" s="1"/>
  <c r="D77" i="156" s="1"/>
  <c r="D96" i="156" s="1"/>
  <c r="D115" i="156" s="1"/>
  <c r="D134" i="156" s="1"/>
  <c r="D153" i="156" s="1"/>
  <c r="D161" i="156" s="1"/>
  <c r="D169" i="156" s="1"/>
  <c r="D188" i="156" s="1"/>
  <c r="D207" i="156" s="1"/>
  <c r="D226" i="156" s="1"/>
  <c r="D245" i="156" s="1"/>
  <c r="D264" i="156" s="1"/>
  <c r="D321" i="156" s="1"/>
  <c r="B338" i="156"/>
  <c r="B319" i="156"/>
  <c r="B300" i="156"/>
  <c r="B281" i="156"/>
  <c r="B262" i="156"/>
  <c r="B243" i="156"/>
  <c r="B224" i="156"/>
  <c r="B205" i="156"/>
  <c r="B186" i="156"/>
  <c r="B167" i="156"/>
  <c r="B159" i="156"/>
  <c r="B151" i="156"/>
  <c r="B132" i="156"/>
  <c r="B113" i="156"/>
  <c r="B94" i="156"/>
  <c r="B75" i="156"/>
  <c r="B56" i="156"/>
  <c r="B37" i="156"/>
  <c r="B18" i="156"/>
  <c r="B18" i="154" l="1"/>
  <c r="B13" i="11" l="1"/>
</calcChain>
</file>

<file path=xl/sharedStrings.xml><?xml version="1.0" encoding="utf-8"?>
<sst xmlns="http://schemas.openxmlformats.org/spreadsheetml/2006/main" count="533" uniqueCount="147">
  <si>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</si>
  <si>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</si>
  <si>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</si>
  <si>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</si>
  <si>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</si>
  <si>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</si>
  <si>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</si>
  <si>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</si>
  <si>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</si>
  <si>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</si>
  <si>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</si>
  <si>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</si>
  <si>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</si>
  <si>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</si>
  <si>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</si>
  <si>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</si>
  <si>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</si>
  <si>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</si>
  <si>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</si>
  <si>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</si>
  <si>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</si>
  <si>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</si>
  <si>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</si>
  <si>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</si>
  <si>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</si>
  <si>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</si>
  <si>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</si>
  <si>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</si>
  <si>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</si>
  <si>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</si>
  <si>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</si>
  <si>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</si>
  <si>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</si>
  <si>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</si>
  <si>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</si>
  <si>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</si>
  <si>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</si>
  <si>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</si>
  <si>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</si>
  <si>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</si>
  <si>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</si>
  <si>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</si>
  <si>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</si>
  <si>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</si>
  <si>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Béta tests</t>
  </si>
  <si>
    <t>Documentation-UML</t>
  </si>
  <si>
    <t>Documentation-Tests</t>
  </si>
  <si>
    <t>Documentation-Code</t>
  </si>
  <si>
    <t>Documentation-ModeEmploi</t>
  </si>
  <si>
    <t>CID2A</t>
  </si>
  <si>
    <t>Alexis Rojas</t>
  </si>
  <si>
    <t>Max. 12</t>
  </si>
  <si>
    <t>STOP</t>
  </si>
  <si>
    <t>Lecture et analyse du cahier de charges</t>
  </si>
  <si>
    <t>Planification du projet</t>
  </si>
  <si>
    <t>Console</t>
  </si>
  <si>
    <t xml:space="preserve">Gérer les coordonnés de la console (Se renseigner et faire des tests) </t>
  </si>
  <si>
    <t>Design du menu principal du jeu</t>
  </si>
  <si>
    <t>Création du ménu principal et ses différents options</t>
  </si>
  <si>
    <t>Création du ménu d'options</t>
  </si>
  <si>
    <t>Création du ménu highscores</t>
  </si>
  <si>
    <t>Création du diagramme de classes (UML)</t>
  </si>
  <si>
    <t>Création de la classe Vaisseau</t>
  </si>
  <si>
    <t>Création de la classe Bullet pour les tirs du vaisseau</t>
  </si>
  <si>
    <t>Tests du tir du vaisseau</t>
  </si>
  <si>
    <t>Tests des différents ménus</t>
  </si>
  <si>
    <t>Méthodes pour le mouvement du vaisseau</t>
  </si>
  <si>
    <t>Tests de mouvement du vaisseau</t>
  </si>
  <si>
    <t>Création de la classe Ennemi</t>
  </si>
  <si>
    <t>Création d'une classe pour les tirs de l'ennemi</t>
  </si>
  <si>
    <t>Tests de tir de l'ennemi</t>
  </si>
  <si>
    <t>Tests de la classe Ennemi et des mouvements</t>
  </si>
  <si>
    <t>Gestion du mouvement de l'essaim d'ennemis</t>
  </si>
  <si>
    <t>Tests de mouvement de l'essaim</t>
  </si>
  <si>
    <t>Tests de mouvement de l'OVNI</t>
  </si>
  <si>
    <t>Création d'une classe pour les OVNI</t>
  </si>
  <si>
    <t>Tests de la destruction de l'ennemi</t>
  </si>
  <si>
    <t>Destruction du vaisseau et géstion des vies (Rélation Ennemi-Bombe-Vaisseau)</t>
  </si>
  <si>
    <t>Destruction de l'ennemi et augmentation du score (Rélation Vaisseau-Bullet-Ennemi)</t>
  </si>
  <si>
    <t>Tests de la déstruction du vaisseau et gestion de vies</t>
  </si>
  <si>
    <t>Destruction de l'OVNI (Rélation Vaisseau-Bullet-Ovni)</t>
  </si>
  <si>
    <t>Tests de la déstruction de l'Ovni</t>
  </si>
  <si>
    <t>Création du système de gestion du score</t>
  </si>
  <si>
    <t>Gestion du score en fonction de l'ennemi détruit (Ennemi ou Ovni)</t>
  </si>
  <si>
    <t>Affichage du score à temps réel</t>
  </si>
  <si>
    <t>Tests du score</t>
  </si>
  <si>
    <t>Sauvegarde des Highscores et affichage dans le ménu</t>
  </si>
  <si>
    <t>Tests de sauvegarde des high-scores</t>
  </si>
  <si>
    <t>Test général et réglage des possibles bugs</t>
  </si>
  <si>
    <t>Gérer les coordonnés de la console (Recherche d'information)</t>
  </si>
  <si>
    <t>Design du vaisseau et des énemis (Caractères ASCII)</t>
  </si>
  <si>
    <t>Design du ménu principal (Création du titre en ASCII Art)</t>
  </si>
  <si>
    <t>https://patorjk.com/software/taag/#p=testall&amp;h=0&amp;v=2&amp;f=Graffiti&amp;t=Play%0A</t>
  </si>
  <si>
    <t>Dimensions de la console pour le ménu et le jeu</t>
  </si>
  <si>
    <t>https://stackoverflow.com/questions/30662938/c-sharp-how-to-resize-terminal-in-console-application-not-forms</t>
  </si>
  <si>
    <t>Fonctionnalités du ménu (Déplacement entre les options et changement de couleur pour l'option selectionné)[Tests, pas encore terminé]</t>
  </si>
  <si>
    <t>Test et analyse de plusieurs ménus trouvés sur internet.</t>
  </si>
  <si>
    <t>Création UML (J'ai commencé à définir les classes et leurs membres) format papier -&gt; lucid.app</t>
  </si>
  <si>
    <t>Fonctionnalités du ménu (Déplacement entre les options et changement de couleur pour l'option selectionné)[Réussi]</t>
  </si>
  <si>
    <t>https://github.com/cesilko1/console_menu / https://github.com/MBurtsev/Console.Menu / https://github.com/Bobandy/SimpleConsoleMenu / https://github.com/Vesula/CSharp-Console-Menu</t>
  </si>
  <si>
    <t>Création nouveau projet + création de plusieurs classes</t>
  </si>
  <si>
    <t>Création class Menu, MenuItems. (Menu principal fonctionnel, création des submenus options, scores et about [En Progrès]</t>
  </si>
  <si>
    <t>Création dépôt local et sur GitLub</t>
  </si>
  <si>
    <t>https://github.com/Alexis1476/P-SpaceInvaders/tree/DevMenu</t>
  </si>
  <si>
    <t>Création class Shoot -&gt; premiers tests de tir</t>
  </si>
  <si>
    <t>Membres class Ship -&gt; Création membres et méthode pour le mouvement</t>
  </si>
  <si>
    <t xml:space="preserve">Menu </t>
  </si>
  <si>
    <t>possible to get/set console font size in c# .net? - Stack Overflow</t>
  </si>
  <si>
    <t>Création branche devGame (Tests mouvements et tir du vaisseau) [En cours] Possible changement de toute la logique du jeu (Class Game qui va gérer les positions des objets pui les afficher frame par frame)</t>
  </si>
  <si>
    <t>Redimensionnement de la console (Recherche) [Class modification font size REUSSI]</t>
  </si>
  <si>
    <t>Création premier invader sur plusieurs lignes + Mouvement de gauche à droite [En cours]</t>
  </si>
  <si>
    <t>Analyse fonctionnement des classes, analyse de plusieurs codes sur internet.</t>
  </si>
  <si>
    <t>Implémentation du code de mouvements des aliens dans le projetPrincipal branche DevGame</t>
  </si>
  <si>
    <t>Début des tests de mouvements de l'essaim d'aliens [En cours]</t>
  </si>
  <si>
    <t>Création de tous les aliens(Scrab, octopus, ufo, squid) [Affichage et mouvement individuel en changeant l'image de l'alien par seconde (REUSSIE)]</t>
  </si>
  <si>
    <t>VACANCES D'AUTOMNE</t>
  </si>
  <si>
    <t>Merge des branches DevGame et DevMenu dans la branche Main -&gt; [Convergence des classes faites pour le ménu et les classes pour le jeu]</t>
  </si>
  <si>
    <t>Organisation Projet</t>
  </si>
  <si>
    <t>Création de deux dossier pour separer les classes rélatives au jeu et les classes rélatives au menu</t>
  </si>
  <si>
    <t>Création classe Map qui va gérer l'affichage des éléments en console et création d'une classe parent GameObject pour les classes Invader, Bullet et Ship</t>
  </si>
  <si>
    <t>Création class MovingObject pour gérer le mouvement des objets du jeu</t>
  </si>
  <si>
    <t>Création Enum Direction pour gérer les mouvements des objets</t>
  </si>
  <si>
    <t>Affichage des limites de la Map [Reussie]</t>
  </si>
  <si>
    <t>Création methode ReadInput() qui lit les touches du clavier et permet le mouvement du vaisseau [Reussie]</t>
  </si>
  <si>
    <t>Mouvement du vaisseau dans une seule ligne, effacement du vaisseau de la position précédente [Reussie]</t>
  </si>
  <si>
    <t>Codage mouvement Essaim [Reussie] (L'essaim bouge toujours vers la droite, dès qu'ils arrivent à la limite X de la map ils descendent d'un pas et reaparaissent à gauche de la map)</t>
  </si>
  <si>
    <t>Destruction des Invaders dès qu'une balle les touche [REUSSIE]</t>
  </si>
  <si>
    <t>Codage pour les tirs des invaders [EN COURS]</t>
  </si>
  <si>
    <t>Tir des invaders sans qu'ils se tuent entre eux [REUSSIE]</t>
  </si>
  <si>
    <t>Changement de couleur de la balle en fonction de l'objet (Si c'est le joueur en vert, si ce sont les invaders en rouge) [REUSSIE]</t>
  </si>
  <si>
    <t>En-têtes des classes</t>
  </si>
  <si>
    <t>Retour vers mainMenu dès que la partie est fini</t>
  </si>
  <si>
    <t>Décompte de vies du joueur [REUSSIE]</t>
  </si>
  <si>
    <t>Mettre ne pause le jeu et retourner au ménu principal [REUSSIE]</t>
  </si>
  <si>
    <t>Animation de mouvement pour les invaders, deux frames [REUSSIE]</t>
  </si>
  <si>
    <t>Reglage problème du Timer (Les invaders bougaient plus rapide à chaque fois qu'on quittais une partie) [Il fallait appeler la fonction .start et .Stop lors de l'arret de la partie]</t>
  </si>
  <si>
    <t>Ajout d'un Timer pour gérer le mouvement des invaders et le changement de frame [REUSSIE]</t>
  </si>
  <si>
    <t>Incrémentation Score et affichage [REUSSIE]</t>
  </si>
  <si>
    <t>Changement méthode ReadInput du Program.cs à la class Game</t>
  </si>
  <si>
    <t>Mettre en pause le jeu (Retour vers le menu principal possible et reprise de la partie)</t>
  </si>
  <si>
    <t>Effets audio [REUSSIE]</t>
  </si>
  <si>
    <t>Affichage des vies sous forme de cœurs rouges</t>
  </si>
  <si>
    <t>Création OVNI chaque N secondes (Affichage + destruction + incrémentation du score) [FINI]</t>
  </si>
  <si>
    <t>Correction error methode CalculeDimensions (Pour HeightChar retournait heightChar +1 ) [RESOLU]</t>
  </si>
  <si>
    <t>Commentaires constructeurs class Invaders.cs</t>
  </si>
  <si>
    <t>Tests unitaires (15 au total)</t>
  </si>
  <si>
    <t>Ajout fichier resources pour lires les fichiers audio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</si>
</sst>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Planific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github.com/cesilko1/console_menu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stackoverflow.com/questions/30662938/c-sharp-how-to-resize-terminal-in-console-application-not-forms" TargetMode="External"/><Relationship Id="rId1" Type="http://schemas.openxmlformats.org/officeDocument/2006/relationships/hyperlink" Target="https://patorjk.com/software/taag/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stackoverflow.com/questions/6554536/possible-to-get-set-console-font-size-in-c-sharp-net" TargetMode="External"/><Relationship Id="rId10" Type="http://schemas.openxmlformats.org/officeDocument/2006/relationships/image" Target="../media/image7.emf"/><Relationship Id="rId4" Type="http://schemas.openxmlformats.org/officeDocument/2006/relationships/hyperlink" Target="https://github.com/Alexis1476/P-SpaceInvaders/tree/DevMenu" TargetMode="External"/><Relationship Id="rId9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C25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50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49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117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44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45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46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47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48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55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5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I340"/>
  <sheetViews>
    <sheetView tabSelected="1" topLeftCell="A304" zoomScale="115" zoomScaleNormal="115" workbookViewId="0">
      <selection activeCell="D297" sqref="D29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44435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26</v>
      </c>
      <c r="B3" s="4">
        <v>3</v>
      </c>
      <c r="C3" s="91" t="s">
        <v>53</v>
      </c>
      <c r="D3" s="9"/>
    </row>
    <row r="4" spans="1:4" s="53" customFormat="1" ht="27" x14ac:dyDescent="0.25">
      <c r="A4" s="1" t="s">
        <v>26</v>
      </c>
      <c r="B4" s="2">
        <v>4</v>
      </c>
      <c r="C4" s="92" t="s">
        <v>54</v>
      </c>
      <c r="D4" s="10"/>
    </row>
    <row r="5" spans="1:4" s="53" customFormat="1" x14ac:dyDescent="0.25">
      <c r="A5" s="1" t="s">
        <v>55</v>
      </c>
      <c r="B5" s="2">
        <v>2</v>
      </c>
      <c r="C5" s="92" t="s">
        <v>89</v>
      </c>
      <c r="D5" s="10"/>
    </row>
    <row r="6" spans="1:4" s="53" customFormat="1" x14ac:dyDescent="0.25">
      <c r="A6" s="1" t="s">
        <v>32</v>
      </c>
      <c r="B6" s="2">
        <v>2</v>
      </c>
      <c r="C6" s="92" t="s">
        <v>90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11</v>
      </c>
      <c r="C18" s="88" t="s">
        <v>51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44442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39" thickBot="1" x14ac:dyDescent="0.3">
      <c r="A22" s="5" t="s">
        <v>55</v>
      </c>
      <c r="B22" s="4">
        <v>2</v>
      </c>
      <c r="C22" s="91" t="s">
        <v>93</v>
      </c>
      <c r="D22" s="93" t="s">
        <v>94</v>
      </c>
    </row>
    <row r="23" spans="1:9" ht="25.5" x14ac:dyDescent="0.25">
      <c r="A23" s="5" t="s">
        <v>27</v>
      </c>
      <c r="B23" s="4">
        <v>4</v>
      </c>
      <c r="C23" s="91" t="s">
        <v>91</v>
      </c>
      <c r="D23" s="93" t="s">
        <v>92</v>
      </c>
    </row>
    <row r="24" spans="1:9" ht="27" x14ac:dyDescent="0.25">
      <c r="A24" s="1" t="s">
        <v>27</v>
      </c>
      <c r="B24" s="2">
        <v>6</v>
      </c>
      <c r="C24" s="92" t="s">
        <v>95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51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44449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1" t="s">
        <v>27</v>
      </c>
      <c r="B41" s="2">
        <v>3</v>
      </c>
      <c r="C41" s="92" t="s">
        <v>98</v>
      </c>
      <c r="D41" s="9"/>
    </row>
    <row r="42" spans="1:9" ht="51" x14ac:dyDescent="0.25">
      <c r="A42" s="1" t="s">
        <v>27</v>
      </c>
      <c r="B42" s="2">
        <v>6</v>
      </c>
      <c r="C42" s="92" t="s">
        <v>96</v>
      </c>
      <c r="D42" s="94" t="s">
        <v>99</v>
      </c>
    </row>
    <row r="43" spans="1:9" ht="27" x14ac:dyDescent="0.25">
      <c r="A43" s="1" t="s">
        <v>45</v>
      </c>
      <c r="B43" s="2">
        <v>3</v>
      </c>
      <c r="C43" s="92" t="s">
        <v>97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51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44456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55</v>
      </c>
      <c r="B60" s="4">
        <v>2</v>
      </c>
      <c r="C60" s="91" t="s">
        <v>100</v>
      </c>
      <c r="D60" s="9"/>
    </row>
    <row r="61" spans="1:4" ht="27" x14ac:dyDescent="0.25">
      <c r="A61" s="1" t="s">
        <v>27</v>
      </c>
      <c r="B61" s="2">
        <v>10</v>
      </c>
      <c r="C61" s="92" t="s">
        <v>101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51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44463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5.5" x14ac:dyDescent="0.25">
      <c r="A79" s="5" t="s">
        <v>21</v>
      </c>
      <c r="B79" s="4">
        <v>2</v>
      </c>
      <c r="C79" s="91" t="s">
        <v>102</v>
      </c>
      <c r="D79" s="93" t="s">
        <v>103</v>
      </c>
    </row>
    <row r="80" spans="1:4" x14ac:dyDescent="0.25">
      <c r="A80" s="1"/>
      <c r="B80" s="2">
        <v>4</v>
      </c>
      <c r="C80" s="92" t="s">
        <v>106</v>
      </c>
      <c r="D80" s="10"/>
    </row>
    <row r="81" spans="1:4" ht="27" x14ac:dyDescent="0.25">
      <c r="A81" s="1" t="s">
        <v>31</v>
      </c>
      <c r="B81" s="2">
        <v>3</v>
      </c>
      <c r="C81" s="92" t="s">
        <v>105</v>
      </c>
      <c r="D81" s="10"/>
    </row>
    <row r="82" spans="1:4" x14ac:dyDescent="0.25">
      <c r="A82" s="1" t="s">
        <v>34</v>
      </c>
      <c r="B82" s="2">
        <v>3</v>
      </c>
      <c r="C82" s="92" t="s">
        <v>104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51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44470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40.5" x14ac:dyDescent="0.25">
      <c r="A98" s="5" t="s">
        <v>34</v>
      </c>
      <c r="B98" s="4">
        <v>8</v>
      </c>
      <c r="C98" s="91" t="s">
        <v>108</v>
      </c>
      <c r="D98" s="9"/>
    </row>
    <row r="99" spans="1:4" x14ac:dyDescent="0.25">
      <c r="A99" s="1" t="s">
        <v>55</v>
      </c>
      <c r="B99" s="2">
        <v>3</v>
      </c>
      <c r="C99" s="92" t="s">
        <v>109</v>
      </c>
      <c r="D99" s="95" t="s">
        <v>107</v>
      </c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11</v>
      </c>
      <c r="C113" s="88" t="s">
        <v>51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44477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14.25" thickBot="1" x14ac:dyDescent="0.3">
      <c r="A117" s="5" t="s">
        <v>45</v>
      </c>
      <c r="B117" s="4">
        <v>4</v>
      </c>
      <c r="C117" s="91" t="s">
        <v>111</v>
      </c>
      <c r="D117" s="9"/>
    </row>
    <row r="118" spans="1:4" ht="14.25" thickBot="1" x14ac:dyDescent="0.3">
      <c r="A118" s="1" t="s">
        <v>42</v>
      </c>
      <c r="B118" s="2">
        <v>8</v>
      </c>
      <c r="C118" s="91" t="s">
        <v>110</v>
      </c>
      <c r="D118" s="10"/>
    </row>
    <row r="119" spans="1:4" x14ac:dyDescent="0.25">
      <c r="A119" s="1"/>
      <c r="B119" s="2"/>
      <c r="C119" s="91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51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44484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ht="27" x14ac:dyDescent="0.25">
      <c r="A136" s="5" t="s">
        <v>35</v>
      </c>
      <c r="B136" s="4">
        <v>4</v>
      </c>
      <c r="C136" s="91" t="s">
        <v>114</v>
      </c>
      <c r="D136" s="9"/>
    </row>
    <row r="137" spans="1:4" ht="27" x14ac:dyDescent="0.25">
      <c r="A137" s="1" t="s">
        <v>35</v>
      </c>
      <c r="B137" s="2">
        <v>4</v>
      </c>
      <c r="C137" s="92" t="s">
        <v>112</v>
      </c>
      <c r="D137" s="10"/>
    </row>
    <row r="138" spans="1:4" ht="27" x14ac:dyDescent="0.25">
      <c r="A138" s="1" t="s">
        <v>38</v>
      </c>
      <c r="B138" s="2">
        <v>4</v>
      </c>
      <c r="C138" s="92" t="s">
        <v>113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88" t="s">
        <v>51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44491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1" t="s">
        <v>115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ht="14.25" thickBot="1" x14ac:dyDescent="0.3">
      <c r="A158" s="1"/>
      <c r="B158" s="2"/>
      <c r="C158" s="10"/>
      <c r="D158" s="10"/>
    </row>
    <row r="159" spans="1:4" ht="14.25" thickBot="1" x14ac:dyDescent="0.3">
      <c r="A159" s="48" t="s">
        <v>22</v>
      </c>
      <c r="B159" s="48">
        <f>SUM(B155:B158)</f>
        <v>12</v>
      </c>
      <c r="C159" s="88" t="s">
        <v>51</v>
      </c>
      <c r="D159" s="49"/>
    </row>
    <row r="160" spans="1:4" ht="15" thickBot="1" x14ac:dyDescent="0.35">
      <c r="A160" s="50"/>
      <c r="B160" s="50"/>
      <c r="C160" s="50"/>
      <c r="D160" s="50"/>
    </row>
    <row r="161" spans="1:4" ht="18.75" thickBot="1" x14ac:dyDescent="0.3">
      <c r="A161" s="43" t="s">
        <v>14</v>
      </c>
      <c r="B161" s="44">
        <v>10</v>
      </c>
      <c r="C161" s="45" t="s">
        <v>23</v>
      </c>
      <c r="D161" s="54">
        <f>$D$153+7</f>
        <v>44498</v>
      </c>
    </row>
    <row r="162" spans="1:4" ht="27.75" thickBot="1" x14ac:dyDescent="0.3">
      <c r="A162" s="46" t="s">
        <v>3</v>
      </c>
      <c r="B162" s="47" t="s">
        <v>15</v>
      </c>
      <c r="C162" s="46" t="s">
        <v>7</v>
      </c>
      <c r="D162" s="46" t="s">
        <v>13</v>
      </c>
    </row>
    <row r="163" spans="1:4" x14ac:dyDescent="0.25">
      <c r="A163" s="5" t="s">
        <v>21</v>
      </c>
      <c r="B163" s="4">
        <v>12</v>
      </c>
      <c r="C163" s="91" t="s">
        <v>115</v>
      </c>
      <c r="D163" s="9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ht="14.25" thickBot="1" x14ac:dyDescent="0.3">
      <c r="A166" s="1"/>
      <c r="B166" s="2"/>
      <c r="C166" s="10"/>
      <c r="D166" s="10"/>
    </row>
    <row r="167" spans="1:4" ht="14.25" thickBot="1" x14ac:dyDescent="0.3">
      <c r="A167" s="48" t="s">
        <v>22</v>
      </c>
      <c r="B167" s="48">
        <f>SUM(B163:B166)</f>
        <v>12</v>
      </c>
      <c r="C167" s="88" t="s">
        <v>51</v>
      </c>
      <c r="D167" s="49"/>
    </row>
    <row r="168" spans="1:4" ht="15" thickBot="1" x14ac:dyDescent="0.35">
      <c r="A168" s="50"/>
      <c r="B168" s="50"/>
      <c r="C168" s="50"/>
      <c r="D168" s="50"/>
    </row>
    <row r="169" spans="1:4" ht="18.75" thickBot="1" x14ac:dyDescent="0.3">
      <c r="A169" s="43" t="s">
        <v>14</v>
      </c>
      <c r="B169" s="44">
        <v>11</v>
      </c>
      <c r="C169" s="45" t="s">
        <v>23</v>
      </c>
      <c r="D169" s="54">
        <f>$D$161+7</f>
        <v>44505</v>
      </c>
    </row>
    <row r="170" spans="1:4" ht="27.75" thickBot="1" x14ac:dyDescent="0.3">
      <c r="A170" s="46" t="s">
        <v>3</v>
      </c>
      <c r="B170" s="47" t="s">
        <v>15</v>
      </c>
      <c r="C170" s="46" t="s">
        <v>7</v>
      </c>
      <c r="D170" s="46" t="s">
        <v>13</v>
      </c>
    </row>
    <row r="171" spans="1:4" ht="27" x14ac:dyDescent="0.25">
      <c r="A171" s="5" t="s">
        <v>117</v>
      </c>
      <c r="B171" s="4">
        <v>3</v>
      </c>
      <c r="C171" s="91" t="s">
        <v>116</v>
      </c>
      <c r="D171" s="9"/>
    </row>
    <row r="172" spans="1:4" ht="27" x14ac:dyDescent="0.25">
      <c r="A172" s="1" t="s">
        <v>117</v>
      </c>
      <c r="B172" s="2">
        <v>2</v>
      </c>
      <c r="C172" s="92" t="s">
        <v>118</v>
      </c>
      <c r="D172" s="10"/>
    </row>
    <row r="173" spans="1:4" ht="27" x14ac:dyDescent="0.25">
      <c r="A173" s="1" t="s">
        <v>117</v>
      </c>
      <c r="B173" s="2">
        <v>7</v>
      </c>
      <c r="C173" s="92" t="s">
        <v>119</v>
      </c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2"/>
      <c r="B180" s="2"/>
      <c r="C180" s="10"/>
      <c r="D180" s="10"/>
    </row>
    <row r="181" spans="1:4" x14ac:dyDescent="0.25">
      <c r="A181" s="2"/>
      <c r="B181" s="2"/>
      <c r="C181" s="10"/>
      <c r="D181" s="10"/>
    </row>
    <row r="182" spans="1:4" x14ac:dyDescent="0.25">
      <c r="A182" s="2"/>
      <c r="B182" s="2"/>
      <c r="C182" s="10"/>
      <c r="D182" s="10"/>
    </row>
    <row r="183" spans="1:4" x14ac:dyDescent="0.25">
      <c r="A183" s="51"/>
      <c r="B183" s="51"/>
      <c r="C183" s="52"/>
      <c r="D183" s="52"/>
    </row>
    <row r="184" spans="1:4" x14ac:dyDescent="0.25">
      <c r="A184" s="51"/>
      <c r="B184" s="51"/>
      <c r="C184" s="52"/>
      <c r="D184" s="52"/>
    </row>
    <row r="185" spans="1:4" ht="14.25" thickBot="1" x14ac:dyDescent="0.3">
      <c r="A185" s="3"/>
      <c r="B185" s="3"/>
      <c r="C185" s="11"/>
      <c r="D185" s="11"/>
    </row>
    <row r="186" spans="1:4" ht="14.25" thickBot="1" x14ac:dyDescent="0.3">
      <c r="A186" s="48" t="s">
        <v>22</v>
      </c>
      <c r="B186" s="48">
        <f>SUM(B171:B185)</f>
        <v>12</v>
      </c>
      <c r="C186" s="88" t="s">
        <v>51</v>
      </c>
      <c r="D186" s="49"/>
    </row>
    <row r="187" spans="1:4" ht="15" thickBot="1" x14ac:dyDescent="0.35">
      <c r="A187" s="50"/>
      <c r="B187" s="50"/>
      <c r="C187" s="50"/>
      <c r="D187" s="50"/>
    </row>
    <row r="188" spans="1:4" ht="18.75" thickBot="1" x14ac:dyDescent="0.3">
      <c r="A188" s="43" t="s">
        <v>14</v>
      </c>
      <c r="B188" s="44">
        <v>12</v>
      </c>
      <c r="C188" s="45" t="s">
        <v>23</v>
      </c>
      <c r="D188" s="54">
        <f>$D$169+7</f>
        <v>44512</v>
      </c>
    </row>
    <row r="189" spans="1:4" ht="27.75" thickBot="1" x14ac:dyDescent="0.3">
      <c r="A189" s="46" t="s">
        <v>3</v>
      </c>
      <c r="B189" s="47" t="s">
        <v>15</v>
      </c>
      <c r="C189" s="46" t="s">
        <v>7</v>
      </c>
      <c r="D189" s="46" t="s">
        <v>13</v>
      </c>
    </row>
    <row r="190" spans="1:4" ht="14.25" thickBot="1" x14ac:dyDescent="0.3">
      <c r="A190" s="5" t="s">
        <v>117</v>
      </c>
      <c r="B190" s="4">
        <v>2</v>
      </c>
      <c r="C190" s="91" t="s">
        <v>122</v>
      </c>
      <c r="D190" s="9"/>
    </row>
    <row r="191" spans="1:4" x14ac:dyDescent="0.25">
      <c r="A191" s="5" t="s">
        <v>117</v>
      </c>
      <c r="B191" s="4">
        <v>2</v>
      </c>
      <c r="C191" s="91" t="s">
        <v>120</v>
      </c>
      <c r="D191" s="10"/>
    </row>
    <row r="192" spans="1:4" ht="27" x14ac:dyDescent="0.25">
      <c r="A192" s="1" t="s">
        <v>31</v>
      </c>
      <c r="B192" s="2">
        <v>1</v>
      </c>
      <c r="C192" s="92" t="s">
        <v>121</v>
      </c>
      <c r="D192" s="10"/>
    </row>
    <row r="193" spans="1:4" ht="27" x14ac:dyDescent="0.25">
      <c r="A193" s="1" t="s">
        <v>31</v>
      </c>
      <c r="B193" s="2">
        <v>4</v>
      </c>
      <c r="C193" s="92" t="s">
        <v>123</v>
      </c>
      <c r="D193" s="10"/>
    </row>
    <row r="194" spans="1:4" ht="27" x14ac:dyDescent="0.25">
      <c r="A194" s="1" t="s">
        <v>41</v>
      </c>
      <c r="B194" s="2">
        <v>3</v>
      </c>
      <c r="C194" s="92" t="s">
        <v>124</v>
      </c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2"/>
      <c r="B199" s="2"/>
      <c r="C199" s="10"/>
      <c r="D199" s="10"/>
    </row>
    <row r="200" spans="1:4" x14ac:dyDescent="0.25">
      <c r="A200" s="2"/>
      <c r="B200" s="2"/>
      <c r="C200" s="10"/>
      <c r="D200" s="10"/>
    </row>
    <row r="201" spans="1:4" x14ac:dyDescent="0.25">
      <c r="A201" s="2"/>
      <c r="B201" s="2"/>
      <c r="C201" s="10"/>
      <c r="D201" s="10"/>
    </row>
    <row r="202" spans="1:4" x14ac:dyDescent="0.25">
      <c r="A202" s="51"/>
      <c r="B202" s="51"/>
      <c r="C202" s="52"/>
      <c r="D202" s="52"/>
    </row>
    <row r="203" spans="1:4" x14ac:dyDescent="0.25">
      <c r="A203" s="51"/>
      <c r="B203" s="51"/>
      <c r="C203" s="52"/>
      <c r="D203" s="52"/>
    </row>
    <row r="204" spans="1:4" ht="14.25" thickBot="1" x14ac:dyDescent="0.3">
      <c r="A204" s="3"/>
      <c r="B204" s="3"/>
      <c r="C204" s="11"/>
      <c r="D204" s="11"/>
    </row>
    <row r="205" spans="1:4" ht="14.25" thickBot="1" x14ac:dyDescent="0.3">
      <c r="A205" s="48" t="s">
        <v>22</v>
      </c>
      <c r="B205" s="48">
        <f>SUM(B190:B204)</f>
        <v>12</v>
      </c>
      <c r="C205" s="88" t="s">
        <v>51</v>
      </c>
      <c r="D205" s="49"/>
    </row>
    <row r="206" spans="1:4" ht="15" thickBot="1" x14ac:dyDescent="0.35">
      <c r="A206" s="50"/>
      <c r="B206" s="50"/>
      <c r="C206" s="50"/>
      <c r="D206" s="50"/>
    </row>
    <row r="207" spans="1:4" ht="18.75" thickBot="1" x14ac:dyDescent="0.3">
      <c r="A207" s="43" t="s">
        <v>14</v>
      </c>
      <c r="B207" s="44">
        <v>13</v>
      </c>
      <c r="C207" s="45" t="s">
        <v>23</v>
      </c>
      <c r="D207" s="54">
        <f>$D$188+7</f>
        <v>44519</v>
      </c>
    </row>
    <row r="208" spans="1:4" ht="27.75" thickBot="1" x14ac:dyDescent="0.3">
      <c r="A208" s="46" t="s">
        <v>3</v>
      </c>
      <c r="B208" s="47" t="s">
        <v>15</v>
      </c>
      <c r="C208" s="46" t="s">
        <v>7</v>
      </c>
      <c r="D208" s="46" t="s">
        <v>13</v>
      </c>
    </row>
    <row r="209" spans="1:4" ht="40.5" x14ac:dyDescent="0.25">
      <c r="A209" s="5" t="s">
        <v>38</v>
      </c>
      <c r="B209" s="4">
        <v>7</v>
      </c>
      <c r="C209" s="91" t="s">
        <v>125</v>
      </c>
      <c r="D209" s="9"/>
    </row>
    <row r="210" spans="1:4" x14ac:dyDescent="0.25">
      <c r="A210" s="1" t="s">
        <v>37</v>
      </c>
      <c r="B210" s="2">
        <v>3</v>
      </c>
      <c r="C210" s="92" t="s">
        <v>126</v>
      </c>
      <c r="D210" s="10"/>
    </row>
    <row r="211" spans="1:4" x14ac:dyDescent="0.25">
      <c r="A211" s="1" t="s">
        <v>36</v>
      </c>
      <c r="B211" s="2">
        <v>2</v>
      </c>
      <c r="C211" s="92" t="s">
        <v>127</v>
      </c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2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51"/>
      <c r="B221" s="51"/>
      <c r="C221" s="52"/>
      <c r="D221" s="52"/>
    </row>
    <row r="222" spans="1:4" x14ac:dyDescent="0.25">
      <c r="A222" s="51"/>
      <c r="B222" s="51"/>
      <c r="C222" s="52"/>
      <c r="D222" s="52"/>
    </row>
    <row r="223" spans="1:4" ht="14.25" thickBot="1" x14ac:dyDescent="0.3">
      <c r="A223" s="3"/>
      <c r="B223" s="3"/>
      <c r="C223" s="11"/>
      <c r="D223" s="11"/>
    </row>
    <row r="224" spans="1:4" ht="14.25" thickBot="1" x14ac:dyDescent="0.3">
      <c r="A224" s="48" t="s">
        <v>22</v>
      </c>
      <c r="B224" s="48">
        <f>SUM(B209:B223)</f>
        <v>12</v>
      </c>
      <c r="C224" s="88" t="s">
        <v>51</v>
      </c>
      <c r="D224" s="49"/>
    </row>
    <row r="225" spans="1:4" ht="15" thickBot="1" x14ac:dyDescent="0.35">
      <c r="A225" s="50"/>
      <c r="B225" s="50"/>
      <c r="C225" s="50"/>
      <c r="D225" s="50"/>
    </row>
    <row r="226" spans="1:4" ht="18.75" thickBot="1" x14ac:dyDescent="0.3">
      <c r="A226" s="43" t="s">
        <v>14</v>
      </c>
      <c r="B226" s="44">
        <v>14</v>
      </c>
      <c r="C226" s="45" t="s">
        <v>23</v>
      </c>
      <c r="D226" s="54">
        <f>$D$207+7</f>
        <v>44526</v>
      </c>
    </row>
    <row r="227" spans="1:4" ht="27.75" thickBot="1" x14ac:dyDescent="0.3">
      <c r="A227" s="46" t="s">
        <v>3</v>
      </c>
      <c r="B227" s="47" t="s">
        <v>15</v>
      </c>
      <c r="C227" s="46" t="s">
        <v>7</v>
      </c>
      <c r="D227" s="46" t="s">
        <v>13</v>
      </c>
    </row>
    <row r="228" spans="1:4" x14ac:dyDescent="0.25">
      <c r="A228" s="5" t="s">
        <v>36</v>
      </c>
      <c r="B228" s="4">
        <v>4</v>
      </c>
      <c r="C228" s="91" t="s">
        <v>128</v>
      </c>
      <c r="D228" s="9"/>
    </row>
    <row r="229" spans="1:4" ht="27" x14ac:dyDescent="0.25">
      <c r="A229" s="1" t="s">
        <v>34</v>
      </c>
      <c r="B229" s="2">
        <v>2</v>
      </c>
      <c r="C229" s="92" t="s">
        <v>129</v>
      </c>
      <c r="D229" s="10"/>
    </row>
    <row r="230" spans="1:4" x14ac:dyDescent="0.25">
      <c r="A230" s="1" t="s">
        <v>117</v>
      </c>
      <c r="B230" s="2">
        <v>1</v>
      </c>
      <c r="C230" s="92" t="s">
        <v>130</v>
      </c>
      <c r="D230" s="10"/>
    </row>
    <row r="231" spans="1:4" x14ac:dyDescent="0.25">
      <c r="A231" s="1" t="s">
        <v>27</v>
      </c>
      <c r="B231" s="2">
        <v>3</v>
      </c>
      <c r="C231" s="92" t="s">
        <v>131</v>
      </c>
      <c r="D231" s="10"/>
    </row>
    <row r="232" spans="1:4" x14ac:dyDescent="0.25">
      <c r="A232" s="1" t="s">
        <v>33</v>
      </c>
      <c r="B232" s="2">
        <v>2</v>
      </c>
      <c r="C232" s="92" t="s">
        <v>132</v>
      </c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2"/>
      <c r="B237" s="2"/>
      <c r="C237" s="10"/>
      <c r="D237" s="10"/>
    </row>
    <row r="238" spans="1:4" x14ac:dyDescent="0.25">
      <c r="A238" s="2"/>
      <c r="B238" s="2"/>
      <c r="C238" s="10"/>
      <c r="D238" s="10"/>
    </row>
    <row r="239" spans="1:4" x14ac:dyDescent="0.25">
      <c r="A239" s="2"/>
      <c r="B239" s="2"/>
      <c r="C239" s="10"/>
      <c r="D239" s="10"/>
    </row>
    <row r="240" spans="1:4" x14ac:dyDescent="0.25">
      <c r="A240" s="51"/>
      <c r="B240" s="51"/>
      <c r="C240" s="52"/>
      <c r="D240" s="52"/>
    </row>
    <row r="241" spans="1:4" x14ac:dyDescent="0.25">
      <c r="A241" s="51"/>
      <c r="B241" s="51"/>
      <c r="C241" s="52"/>
      <c r="D241" s="52"/>
    </row>
    <row r="242" spans="1:4" ht="14.25" thickBot="1" x14ac:dyDescent="0.3">
      <c r="A242" s="3"/>
      <c r="B242" s="3"/>
      <c r="C242" s="11"/>
      <c r="D242" s="11"/>
    </row>
    <row r="243" spans="1:4" ht="14.25" thickBot="1" x14ac:dyDescent="0.3">
      <c r="A243" s="48" t="s">
        <v>22</v>
      </c>
      <c r="B243" s="48">
        <f>SUM(B228:B242)</f>
        <v>12</v>
      </c>
      <c r="C243" s="88" t="s">
        <v>51</v>
      </c>
      <c r="D243" s="49"/>
    </row>
    <row r="244" spans="1:4" ht="15" thickBot="1" x14ac:dyDescent="0.35">
      <c r="A244" s="50"/>
      <c r="B244" s="50"/>
      <c r="C244" s="50"/>
      <c r="D244" s="50"/>
    </row>
    <row r="245" spans="1:4" ht="18.75" thickBot="1" x14ac:dyDescent="0.3">
      <c r="A245" s="43" t="s">
        <v>14</v>
      </c>
      <c r="B245" s="44">
        <v>15</v>
      </c>
      <c r="C245" s="45" t="s">
        <v>23</v>
      </c>
      <c r="D245" s="54">
        <f>$D$226+7</f>
        <v>44533</v>
      </c>
    </row>
    <row r="246" spans="1:4" ht="27.75" thickBot="1" x14ac:dyDescent="0.3">
      <c r="A246" s="46" t="s">
        <v>3</v>
      </c>
      <c r="B246" s="47" t="s">
        <v>15</v>
      </c>
      <c r="C246" s="46" t="s">
        <v>7</v>
      </c>
      <c r="D246" s="46" t="s">
        <v>13</v>
      </c>
    </row>
    <row r="247" spans="1:4" x14ac:dyDescent="0.25">
      <c r="A247" s="5" t="s">
        <v>39</v>
      </c>
      <c r="B247" s="4">
        <v>3</v>
      </c>
      <c r="C247" s="91" t="s">
        <v>137</v>
      </c>
      <c r="D247" s="9"/>
    </row>
    <row r="248" spans="1:4" ht="27" x14ac:dyDescent="0.25">
      <c r="A248" s="1" t="s">
        <v>31</v>
      </c>
      <c r="B248" s="2">
        <v>2</v>
      </c>
      <c r="C248" s="92" t="s">
        <v>138</v>
      </c>
      <c r="D248" s="10"/>
    </row>
    <row r="249" spans="1:4" x14ac:dyDescent="0.25">
      <c r="A249" s="1" t="s">
        <v>27</v>
      </c>
      <c r="B249" s="2">
        <v>3</v>
      </c>
      <c r="C249" s="92" t="s">
        <v>139</v>
      </c>
      <c r="D249" s="10"/>
    </row>
    <row r="250" spans="1:4" x14ac:dyDescent="0.25">
      <c r="A250" s="1" t="s">
        <v>55</v>
      </c>
      <c r="B250" s="2">
        <v>2</v>
      </c>
      <c r="C250" s="92" t="s">
        <v>140</v>
      </c>
      <c r="D250" s="10"/>
    </row>
    <row r="251" spans="1:4" x14ac:dyDescent="0.25">
      <c r="A251" s="1" t="s">
        <v>33</v>
      </c>
      <c r="B251" s="2">
        <v>2</v>
      </c>
      <c r="C251" s="92" t="s">
        <v>141</v>
      </c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2"/>
      <c r="B256" s="2"/>
      <c r="C256" s="10"/>
      <c r="D256" s="10"/>
    </row>
    <row r="257" spans="1:4" x14ac:dyDescent="0.25">
      <c r="A257" s="2"/>
      <c r="B257" s="2"/>
      <c r="C257" s="10"/>
      <c r="D257" s="10"/>
    </row>
    <row r="258" spans="1:4" x14ac:dyDescent="0.25">
      <c r="A258" s="2"/>
      <c r="B258" s="2"/>
      <c r="C258" s="10"/>
      <c r="D258" s="10"/>
    </row>
    <row r="259" spans="1:4" x14ac:dyDescent="0.25">
      <c r="A259" s="51"/>
      <c r="B259" s="51"/>
      <c r="C259" s="52"/>
      <c r="D259" s="52"/>
    </row>
    <row r="260" spans="1:4" x14ac:dyDescent="0.25">
      <c r="A260" s="51"/>
      <c r="B260" s="51"/>
      <c r="C260" s="52"/>
      <c r="D260" s="52"/>
    </row>
    <row r="261" spans="1:4" ht="14.25" thickBot="1" x14ac:dyDescent="0.3">
      <c r="A261" s="3"/>
      <c r="B261" s="3"/>
      <c r="C261" s="11"/>
      <c r="D261" s="11"/>
    </row>
    <row r="262" spans="1:4" ht="14.25" thickBot="1" x14ac:dyDescent="0.3">
      <c r="A262" s="48" t="s">
        <v>22</v>
      </c>
      <c r="B262" s="48">
        <f>SUM(B247:B261)</f>
        <v>12</v>
      </c>
      <c r="C262" s="88" t="s">
        <v>51</v>
      </c>
      <c r="D262" s="49"/>
    </row>
    <row r="263" spans="1:4" ht="15" thickBot="1" x14ac:dyDescent="0.35">
      <c r="A263" s="50"/>
      <c r="B263" s="50"/>
      <c r="C263" s="50"/>
      <c r="D263" s="50"/>
    </row>
    <row r="264" spans="1:4" ht="18.75" thickBot="1" x14ac:dyDescent="0.3">
      <c r="A264" s="43" t="s">
        <v>14</v>
      </c>
      <c r="B264" s="44">
        <v>16</v>
      </c>
      <c r="C264" s="45" t="s">
        <v>23</v>
      </c>
      <c r="D264" s="54">
        <f>$D$245+7</f>
        <v>44540</v>
      </c>
    </row>
    <row r="265" spans="1:4" ht="27.75" thickBot="1" x14ac:dyDescent="0.3">
      <c r="A265" s="46" t="s">
        <v>3</v>
      </c>
      <c r="B265" s="47" t="s">
        <v>15</v>
      </c>
      <c r="C265" s="46" t="s">
        <v>7</v>
      </c>
      <c r="D265" s="46" t="s">
        <v>13</v>
      </c>
    </row>
    <row r="266" spans="1:4" x14ac:dyDescent="0.25">
      <c r="A266" s="5" t="s">
        <v>28</v>
      </c>
      <c r="B266" s="4">
        <v>3</v>
      </c>
      <c r="C266" s="91" t="s">
        <v>133</v>
      </c>
      <c r="D266" s="9"/>
    </row>
    <row r="267" spans="1:4" ht="27" x14ac:dyDescent="0.25">
      <c r="A267" s="1" t="s">
        <v>38</v>
      </c>
      <c r="B267" s="2">
        <v>4</v>
      </c>
      <c r="C267" s="92" t="s">
        <v>134</v>
      </c>
      <c r="D267" s="10"/>
    </row>
    <row r="268" spans="1:4" ht="27" x14ac:dyDescent="0.25">
      <c r="A268" s="1" t="s">
        <v>117</v>
      </c>
      <c r="B268" s="2">
        <v>2</v>
      </c>
      <c r="C268" s="92" t="s">
        <v>136</v>
      </c>
      <c r="D268" s="10"/>
    </row>
    <row r="269" spans="1:4" ht="27" x14ac:dyDescent="0.25">
      <c r="A269" s="1" t="s">
        <v>35</v>
      </c>
      <c r="B269" s="2">
        <v>3</v>
      </c>
      <c r="C269" s="92" t="s">
        <v>135</v>
      </c>
      <c r="D269" s="10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2"/>
      <c r="B275" s="2"/>
      <c r="C275" s="10"/>
      <c r="D275" s="10"/>
    </row>
    <row r="276" spans="1:4" x14ac:dyDescent="0.25">
      <c r="A276" s="2"/>
      <c r="B276" s="2"/>
      <c r="C276" s="10"/>
      <c r="D276" s="10"/>
    </row>
    <row r="277" spans="1:4" x14ac:dyDescent="0.25">
      <c r="A277" s="2"/>
      <c r="B277" s="2"/>
      <c r="C277" s="10"/>
      <c r="D277" s="10"/>
    </row>
    <row r="278" spans="1:4" x14ac:dyDescent="0.25">
      <c r="A278" s="51"/>
      <c r="B278" s="51"/>
      <c r="C278" s="52"/>
      <c r="D278" s="52"/>
    </row>
    <row r="279" spans="1:4" x14ac:dyDescent="0.25">
      <c r="A279" s="51"/>
      <c r="B279" s="51"/>
      <c r="C279" s="52"/>
      <c r="D279" s="52"/>
    </row>
    <row r="280" spans="1:4" ht="14.25" thickBot="1" x14ac:dyDescent="0.3">
      <c r="A280" s="3"/>
      <c r="B280" s="3"/>
      <c r="C280" s="11"/>
      <c r="D280" s="11"/>
    </row>
    <row r="281" spans="1:4" ht="14.25" thickBot="1" x14ac:dyDescent="0.3">
      <c r="A281" s="48" t="s">
        <v>22</v>
      </c>
      <c r="B281" s="48">
        <f>SUM(B266:B280)</f>
        <v>12</v>
      </c>
      <c r="C281" s="88" t="s">
        <v>51</v>
      </c>
      <c r="D281" s="49"/>
    </row>
    <row r="282" spans="1:4" ht="15" thickBot="1" x14ac:dyDescent="0.35">
      <c r="A282" s="50"/>
      <c r="B282" s="50"/>
      <c r="C282" s="50"/>
      <c r="D282" s="50"/>
    </row>
    <row r="283" spans="1:4" ht="18.75" thickBot="1" x14ac:dyDescent="0.3">
      <c r="A283" s="43" t="s">
        <v>14</v>
      </c>
      <c r="B283" s="44">
        <v>17</v>
      </c>
      <c r="C283" s="45" t="s">
        <v>23</v>
      </c>
      <c r="D283" s="54">
        <f>$D$264+4</f>
        <v>44544</v>
      </c>
    </row>
    <row r="284" spans="1:4" ht="27.75" thickBot="1" x14ac:dyDescent="0.3">
      <c r="A284" s="46" t="s">
        <v>3</v>
      </c>
      <c r="B284" s="47" t="s">
        <v>15</v>
      </c>
      <c r="C284" s="46" t="s">
        <v>7</v>
      </c>
      <c r="D284" s="46" t="s">
        <v>13</v>
      </c>
    </row>
    <row r="285" spans="1:4" ht="27" x14ac:dyDescent="0.25">
      <c r="A285" s="5" t="s">
        <v>43</v>
      </c>
      <c r="B285" s="4">
        <v>3</v>
      </c>
      <c r="C285" s="91" t="s">
        <v>142</v>
      </c>
      <c r="D285" s="9"/>
    </row>
    <row r="286" spans="1:4" ht="27" x14ac:dyDescent="0.25">
      <c r="A286" s="1" t="s">
        <v>41</v>
      </c>
      <c r="B286" s="2">
        <v>2</v>
      </c>
      <c r="C286" s="92" t="s">
        <v>143</v>
      </c>
      <c r="D286" s="10"/>
    </row>
    <row r="287" spans="1:4" x14ac:dyDescent="0.25">
      <c r="A287" s="1" t="s">
        <v>117</v>
      </c>
      <c r="B287" s="2">
        <v>1</v>
      </c>
      <c r="C287" s="92" t="s">
        <v>144</v>
      </c>
      <c r="D287" s="10"/>
    </row>
    <row r="288" spans="1:4" x14ac:dyDescent="0.25">
      <c r="A288" s="1" t="s">
        <v>46</v>
      </c>
      <c r="B288" s="2">
        <v>5</v>
      </c>
      <c r="C288" s="92" t="s">
        <v>145</v>
      </c>
      <c r="D288" s="10"/>
    </row>
    <row r="289" spans="1:4" x14ac:dyDescent="0.25">
      <c r="A289" s="1" t="s">
        <v>117</v>
      </c>
      <c r="B289" s="2">
        <v>1</v>
      </c>
      <c r="C289" s="92" t="s">
        <v>146</v>
      </c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2"/>
      <c r="B294" s="2"/>
      <c r="C294" s="10"/>
      <c r="D294" s="10"/>
    </row>
    <row r="295" spans="1:4" x14ac:dyDescent="0.25">
      <c r="A295" s="2"/>
      <c r="B295" s="2"/>
      <c r="C295" s="10"/>
      <c r="D295" s="10"/>
    </row>
    <row r="296" spans="1:4" x14ac:dyDescent="0.25">
      <c r="A296" s="2"/>
      <c r="B296" s="2"/>
      <c r="C296" s="10"/>
      <c r="D296" s="10"/>
    </row>
    <row r="297" spans="1:4" x14ac:dyDescent="0.25">
      <c r="A297" s="51"/>
      <c r="B297" s="51"/>
      <c r="C297" s="52"/>
      <c r="D297" s="52"/>
    </row>
    <row r="298" spans="1:4" x14ac:dyDescent="0.25">
      <c r="A298" s="51"/>
      <c r="B298" s="51"/>
      <c r="C298" s="52"/>
      <c r="D298" s="52"/>
    </row>
    <row r="299" spans="1:4" ht="14.25" thickBot="1" x14ac:dyDescent="0.3">
      <c r="A299" s="3"/>
      <c r="B299" s="3"/>
      <c r="C299" s="11"/>
      <c r="D299" s="11"/>
    </row>
    <row r="300" spans="1:4" ht="14.25" thickBot="1" x14ac:dyDescent="0.3">
      <c r="A300" s="48" t="s">
        <v>22</v>
      </c>
      <c r="B300" s="48">
        <f>SUM(B285:B299)</f>
        <v>12</v>
      </c>
      <c r="C300" s="88" t="s">
        <v>51</v>
      </c>
      <c r="D300" s="49"/>
    </row>
    <row r="301" spans="1:4" ht="15" thickBot="1" x14ac:dyDescent="0.35">
      <c r="A301" s="50"/>
      <c r="B301" s="50"/>
      <c r="C301" s="50"/>
      <c r="D301" s="50"/>
    </row>
    <row r="302" spans="1:4" ht="18.75" thickBot="1" x14ac:dyDescent="0.3">
      <c r="A302" s="43" t="s">
        <v>14</v>
      </c>
      <c r="B302" s="44">
        <v>18</v>
      </c>
      <c r="C302" s="45" t="s">
        <v>23</v>
      </c>
      <c r="D302" s="54">
        <f>$D$283+3</f>
        <v>44547</v>
      </c>
    </row>
    <row r="303" spans="1:4" ht="27.75" thickBot="1" x14ac:dyDescent="0.3">
      <c r="A303" s="46" t="s">
        <v>3</v>
      </c>
      <c r="B303" s="47" t="s">
        <v>15</v>
      </c>
      <c r="C303" s="46" t="s">
        <v>7</v>
      </c>
      <c r="D303" s="46" t="s">
        <v>13</v>
      </c>
    </row>
    <row r="304" spans="1:4" x14ac:dyDescent="0.25">
      <c r="A304" s="5"/>
      <c r="B304" s="4"/>
      <c r="C304" s="9"/>
      <c r="D304" s="9"/>
    </row>
    <row r="305" spans="1:4" x14ac:dyDescent="0.25">
      <c r="A305" s="1"/>
      <c r="B305" s="2"/>
      <c r="C305" s="10"/>
      <c r="D305" s="10"/>
    </row>
    <row r="306" spans="1:4" x14ac:dyDescent="0.25">
      <c r="A306" s="1"/>
      <c r="B306" s="2"/>
      <c r="C306" s="10"/>
      <c r="D306" s="10"/>
    </row>
    <row r="307" spans="1:4" x14ac:dyDescent="0.25">
      <c r="A307" s="1"/>
      <c r="B307" s="2"/>
      <c r="C307" s="10"/>
      <c r="D307" s="10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2"/>
      <c r="B313" s="2"/>
      <c r="C313" s="10"/>
      <c r="D313" s="10"/>
    </row>
    <row r="314" spans="1:4" x14ac:dyDescent="0.25">
      <c r="A314" s="2"/>
      <c r="B314" s="2"/>
      <c r="C314" s="10"/>
      <c r="D314" s="10"/>
    </row>
    <row r="315" spans="1:4" x14ac:dyDescent="0.25">
      <c r="A315" s="2"/>
      <c r="B315" s="2"/>
      <c r="C315" s="10"/>
      <c r="D315" s="10"/>
    </row>
    <row r="316" spans="1:4" x14ac:dyDescent="0.25">
      <c r="A316" s="51"/>
      <c r="B316" s="51"/>
      <c r="C316" s="52"/>
      <c r="D316" s="52"/>
    </row>
    <row r="317" spans="1:4" x14ac:dyDescent="0.25">
      <c r="A317" s="51"/>
      <c r="B317" s="51"/>
      <c r="C317" s="52"/>
      <c r="D317" s="52"/>
    </row>
    <row r="318" spans="1:4" ht="14.25" thickBot="1" x14ac:dyDescent="0.3">
      <c r="A318" s="3"/>
      <c r="B318" s="3"/>
      <c r="C318" s="11"/>
      <c r="D318" s="11"/>
    </row>
    <row r="319" spans="1:4" ht="14.25" thickBot="1" x14ac:dyDescent="0.3">
      <c r="A319" s="48" t="s">
        <v>22</v>
      </c>
      <c r="B319" s="48">
        <f>SUM(B304:B318)</f>
        <v>0</v>
      </c>
      <c r="C319" s="88" t="s">
        <v>51</v>
      </c>
      <c r="D319" s="49"/>
    </row>
    <row r="320" spans="1:4" ht="15" thickBot="1" x14ac:dyDescent="0.35">
      <c r="A320" s="50"/>
      <c r="B320" s="50"/>
      <c r="C320" s="50"/>
      <c r="D320" s="50"/>
    </row>
    <row r="321" spans="1:4" ht="18.75" thickBot="1" x14ac:dyDescent="0.3">
      <c r="A321" s="43" t="s">
        <v>14</v>
      </c>
      <c r="B321" s="44">
        <v>19</v>
      </c>
      <c r="C321" s="45" t="s">
        <v>23</v>
      </c>
      <c r="D321" s="54">
        <f>$D$302+7</f>
        <v>44554</v>
      </c>
    </row>
    <row r="322" spans="1:4" ht="27.75" thickBot="1" x14ac:dyDescent="0.3">
      <c r="A322" s="46" t="s">
        <v>3</v>
      </c>
      <c r="B322" s="47" t="s">
        <v>15</v>
      </c>
      <c r="C322" s="46" t="s">
        <v>7</v>
      </c>
      <c r="D322" s="46" t="s">
        <v>13</v>
      </c>
    </row>
    <row r="323" spans="1:4" x14ac:dyDescent="0.25">
      <c r="A323" s="5"/>
      <c r="B323" s="4"/>
      <c r="C323" s="9"/>
      <c r="D323" s="9"/>
    </row>
    <row r="324" spans="1:4" x14ac:dyDescent="0.25">
      <c r="A324" s="1"/>
      <c r="B324" s="2"/>
      <c r="C324" s="10"/>
      <c r="D324" s="10"/>
    </row>
    <row r="325" spans="1:4" x14ac:dyDescent="0.25">
      <c r="A325" s="1"/>
      <c r="B325" s="2"/>
      <c r="C325" s="10"/>
      <c r="D325" s="10"/>
    </row>
    <row r="326" spans="1:4" x14ac:dyDescent="0.25">
      <c r="A326" s="1"/>
      <c r="B326" s="2"/>
      <c r="C326" s="10"/>
      <c r="D326" s="10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2"/>
      <c r="B332" s="2"/>
      <c r="C332" s="10"/>
      <c r="D332" s="10"/>
    </row>
    <row r="333" spans="1:4" x14ac:dyDescent="0.25">
      <c r="A333" s="2"/>
      <c r="B333" s="2"/>
      <c r="C333" s="10"/>
      <c r="D333" s="10"/>
    </row>
    <row r="334" spans="1:4" x14ac:dyDescent="0.25">
      <c r="A334" s="2"/>
      <c r="B334" s="2"/>
      <c r="C334" s="10"/>
      <c r="D334" s="10"/>
    </row>
    <row r="335" spans="1:4" x14ac:dyDescent="0.25">
      <c r="A335" s="51"/>
      <c r="B335" s="51"/>
      <c r="C335" s="52"/>
      <c r="D335" s="52"/>
    </row>
    <row r="336" spans="1:4" x14ac:dyDescent="0.25">
      <c r="A336" s="51"/>
      <c r="B336" s="51"/>
      <c r="C336" s="52"/>
      <c r="D336" s="52"/>
    </row>
    <row r="337" spans="1:4" ht="14.25" thickBot="1" x14ac:dyDescent="0.3">
      <c r="A337" s="3"/>
      <c r="B337" s="3"/>
      <c r="C337" s="11"/>
      <c r="D337" s="11"/>
    </row>
    <row r="338" spans="1:4" ht="14.25" thickBot="1" x14ac:dyDescent="0.3">
      <c r="A338" s="48" t="s">
        <v>22</v>
      </c>
      <c r="B338" s="48">
        <f>SUM(B323:B337)</f>
        <v>0</v>
      </c>
      <c r="C338" s="88" t="s">
        <v>51</v>
      </c>
      <c r="D338" s="49"/>
    </row>
    <row r="339" spans="1:4" ht="14.25" x14ac:dyDescent="0.3">
      <c r="A339" s="50"/>
      <c r="B339" s="50"/>
      <c r="C339" s="50"/>
      <c r="D339" s="50"/>
    </row>
    <row r="340" spans="1:4" x14ac:dyDescent="0.25">
      <c r="A340" s="89" t="s">
        <v>52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5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323:B337 B22:B36 B60:B74 B79:B93 B98:B112 B41:B55 B136:B150 B155:B158 B117:B131 B171:B185 B163:B166 B209:B223 B228:B242 B247:B261 B266:B280 B285:B299 B304:B318 B190:B204" xr:uid="{00000000-0002-0000-05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59 B167 B186 B205 B224 B243 B262 B281 B300 B319 B338" xr:uid="{00000000-0002-0000-0500-000002000000}">
      <formula1>0</formula1>
      <formula2>NbPerWeek * NbQuartPer</formula2>
    </dataValidation>
    <dataValidation type="list" allowBlank="1" showInputMessage="1" showErrorMessage="1" sqref="A3:A17 A323:A337 A22:A36 A60:A74 A79:A93 A98:A112 A117:A131 A136:A150 A155:A158 A41:A55 A171:A185 A163:A166 A209:A223 A228:A242 A247:A261 A266:A280 A285:A299 A304:A318 A190:A204" xr:uid="{00000000-0002-0000-0500-000003000000}">
      <formula1>lstTasks</formula1>
    </dataValidation>
  </dataValidations>
  <hyperlinks>
    <hyperlink ref="D23" r:id="rId1" location="p=testall&amp;h=0&amp;v=2&amp;f=Graffiti&amp;t=Play%0A" xr:uid="{00000000-0004-0000-0500-000000000000}"/>
    <hyperlink ref="D22" r:id="rId2" xr:uid="{00000000-0004-0000-0500-000001000000}"/>
    <hyperlink ref="D42" r:id="rId3" display="https://github.com/cesilko1/console_menu" xr:uid="{00000000-0004-0000-0500-000002000000}"/>
    <hyperlink ref="D79" r:id="rId4" xr:uid="{00000000-0004-0000-0500-000003000000}"/>
    <hyperlink ref="D99" r:id="rId5" display="https://stackoverflow.com/questions/6554536/possible-to-get-set-console-font-size-in-c-sharp-net" xr:uid="{00000000-0004-0000-0500-000004000000}"/>
  </hyperlinks>
  <pageMargins left="0.7" right="0.7" top="0.75" bottom="0.75" header="0.3" footer="0.3"/>
  <pageSetup paperSize="9" orientation="portrait" r:id="rId6"/>
  <drawing r:id="rId7"/>
  <legacyDrawing r:id="rId8"/>
  <controls>
    <mc:AlternateContent xmlns:mc="http://schemas.openxmlformats.org/markup-compatibility/2006">
      <mc:Choice Requires="x14">
        <control shapeId="45057" r:id="rId9" name="btnImportRealisation">
          <controlPr defaultSize="0" autoLine="0" r:id="rId1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9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I267"/>
  <sheetViews>
    <sheetView topLeftCell="A22" workbookViewId="0">
      <selection activeCell="C17" sqref="C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3</v>
      </c>
      <c r="C3" s="91" t="s">
        <v>53</v>
      </c>
      <c r="D3" s="9"/>
    </row>
    <row r="4" spans="1:4" s="53" customFormat="1" ht="27" x14ac:dyDescent="0.25">
      <c r="A4" s="1" t="s">
        <v>26</v>
      </c>
      <c r="B4" s="2">
        <v>4</v>
      </c>
      <c r="C4" s="92" t="s">
        <v>54</v>
      </c>
      <c r="D4" s="10"/>
    </row>
    <row r="5" spans="1:4" s="53" customFormat="1" x14ac:dyDescent="0.25">
      <c r="A5" s="1" t="s">
        <v>55</v>
      </c>
      <c r="B5" s="2">
        <v>5</v>
      </c>
      <c r="C5" s="92" t="s">
        <v>56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0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27</v>
      </c>
      <c r="B17" s="4">
        <v>3</v>
      </c>
      <c r="C17" s="91" t="s">
        <v>57</v>
      </c>
      <c r="D17" s="9"/>
    </row>
    <row r="18" spans="1:9" x14ac:dyDescent="0.25">
      <c r="A18" s="1" t="s">
        <v>28</v>
      </c>
      <c r="B18" s="2">
        <v>3</v>
      </c>
      <c r="C18" s="92" t="s">
        <v>58</v>
      </c>
      <c r="D18" s="10"/>
    </row>
    <row r="19" spans="1:9" x14ac:dyDescent="0.25">
      <c r="A19" s="1" t="s">
        <v>29</v>
      </c>
      <c r="B19" s="2">
        <v>3</v>
      </c>
      <c r="C19" s="92" t="s">
        <v>59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30</v>
      </c>
      <c r="B20" s="2">
        <v>2</v>
      </c>
      <c r="C20" s="92" t="s">
        <v>60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40</v>
      </c>
      <c r="B21" s="2">
        <v>1</v>
      </c>
      <c r="C21" s="92" t="s">
        <v>65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0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45</v>
      </c>
      <c r="B31" s="4">
        <v>6</v>
      </c>
      <c r="C31" s="91" t="s">
        <v>61</v>
      </c>
      <c r="D31" s="9"/>
      <c r="E31" s="20"/>
      <c r="F31" s="41"/>
      <c r="G31" s="41"/>
      <c r="H31" s="41"/>
      <c r="I31" s="20"/>
    </row>
    <row r="32" spans="1:9" x14ac:dyDescent="0.25">
      <c r="A32" s="1" t="s">
        <v>32</v>
      </c>
      <c r="B32" s="2">
        <v>2</v>
      </c>
      <c r="C32" s="92" t="s">
        <v>62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31</v>
      </c>
      <c r="B33" s="2">
        <v>3</v>
      </c>
      <c r="C33" s="92" t="s">
        <v>66</v>
      </c>
      <c r="D33" s="10"/>
      <c r="E33" s="20"/>
      <c r="F33" s="20"/>
      <c r="G33" s="20"/>
      <c r="H33" s="20"/>
      <c r="I33" s="20"/>
    </row>
    <row r="34" spans="1:9" x14ac:dyDescent="0.25">
      <c r="A34" s="1" t="s">
        <v>41</v>
      </c>
      <c r="B34" s="2">
        <v>1</v>
      </c>
      <c r="C34" s="92" t="s">
        <v>67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0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5</v>
      </c>
      <c r="C45" s="91" t="s">
        <v>63</v>
      </c>
      <c r="D45" s="9"/>
    </row>
    <row r="46" spans="1:9" x14ac:dyDescent="0.25">
      <c r="A46" s="1" t="s">
        <v>41</v>
      </c>
      <c r="B46" s="2">
        <v>2</v>
      </c>
      <c r="C46" s="92" t="s">
        <v>64</v>
      </c>
      <c r="D46" s="10"/>
    </row>
    <row r="47" spans="1:9" x14ac:dyDescent="0.25">
      <c r="A47" s="1" t="s">
        <v>35</v>
      </c>
      <c r="B47" s="2">
        <v>4</v>
      </c>
      <c r="C47" s="92" t="s">
        <v>68</v>
      </c>
      <c r="D47" s="10"/>
    </row>
    <row r="48" spans="1:9" x14ac:dyDescent="0.25">
      <c r="A48" s="1" t="s">
        <v>42</v>
      </c>
      <c r="B48" s="2">
        <v>1</v>
      </c>
      <c r="C48" s="92" t="s">
        <v>71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0" t="s">
        <v>51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36</v>
      </c>
      <c r="B59" s="4">
        <v>5</v>
      </c>
      <c r="C59" s="91" t="s">
        <v>69</v>
      </c>
      <c r="D59" s="9"/>
    </row>
    <row r="60" spans="1:4" x14ac:dyDescent="0.25">
      <c r="A60" s="1" t="s">
        <v>42</v>
      </c>
      <c r="B60" s="2">
        <v>2</v>
      </c>
      <c r="C60" s="92" t="s">
        <v>70</v>
      </c>
      <c r="D60" s="10"/>
    </row>
    <row r="61" spans="1:4" ht="27" x14ac:dyDescent="0.25">
      <c r="A61" s="1" t="s">
        <v>38</v>
      </c>
      <c r="B61" s="2">
        <v>5</v>
      </c>
      <c r="C61" s="92" t="s">
        <v>72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90" t="s">
        <v>51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1" t="s">
        <v>38</v>
      </c>
      <c r="B73" s="4">
        <v>3</v>
      </c>
      <c r="C73" s="92" t="s">
        <v>72</v>
      </c>
      <c r="D73" s="9"/>
    </row>
    <row r="74" spans="1:4" x14ac:dyDescent="0.25">
      <c r="A74" s="1" t="s">
        <v>42</v>
      </c>
      <c r="B74" s="2">
        <v>2</v>
      </c>
      <c r="C74" s="92" t="s">
        <v>73</v>
      </c>
      <c r="D74" s="10"/>
    </row>
    <row r="75" spans="1:4" x14ac:dyDescent="0.25">
      <c r="A75" s="1" t="s">
        <v>43</v>
      </c>
      <c r="B75" s="2">
        <v>4</v>
      </c>
      <c r="C75" s="92" t="s">
        <v>75</v>
      </c>
      <c r="D75" s="10"/>
    </row>
    <row r="76" spans="1:4" x14ac:dyDescent="0.25">
      <c r="A76" s="1" t="s">
        <v>43</v>
      </c>
      <c r="B76" s="2">
        <v>2</v>
      </c>
      <c r="C76" s="92" t="s">
        <v>74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11</v>
      </c>
      <c r="C83" s="90" t="s">
        <v>51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37</v>
      </c>
      <c r="B87" s="4">
        <v>10</v>
      </c>
      <c r="C87" s="91" t="s">
        <v>78</v>
      </c>
      <c r="D87" s="9"/>
    </row>
    <row r="88" spans="1:4" x14ac:dyDescent="0.25">
      <c r="A88" s="1" t="s">
        <v>42</v>
      </c>
      <c r="B88" s="2">
        <v>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90" t="s">
        <v>51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33</v>
      </c>
      <c r="B101" s="4">
        <v>10</v>
      </c>
      <c r="C101" s="91" t="s">
        <v>77</v>
      </c>
      <c r="D101" s="9"/>
    </row>
    <row r="102" spans="1:4" x14ac:dyDescent="0.25">
      <c r="A102" s="1" t="s">
        <v>41</v>
      </c>
      <c r="B102" s="2">
        <v>2</v>
      </c>
      <c r="C102" s="92" t="s">
        <v>79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90" t="s">
        <v>51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43</v>
      </c>
      <c r="B115" s="4">
        <v>4</v>
      </c>
      <c r="C115" s="91" t="s">
        <v>80</v>
      </c>
      <c r="D115" s="9"/>
    </row>
    <row r="116" spans="1:4" x14ac:dyDescent="0.25">
      <c r="A116" s="1" t="s">
        <v>43</v>
      </c>
      <c r="B116" s="2">
        <v>2</v>
      </c>
      <c r="C116" s="92" t="s">
        <v>81</v>
      </c>
      <c r="D116" s="10"/>
    </row>
    <row r="117" spans="1:4" x14ac:dyDescent="0.25">
      <c r="A117" s="1" t="s">
        <v>39</v>
      </c>
      <c r="B117" s="2">
        <v>6</v>
      </c>
      <c r="C117" s="92" t="s">
        <v>82</v>
      </c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90" t="s">
        <v>51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39</v>
      </c>
      <c r="B129" s="4">
        <v>4</v>
      </c>
      <c r="C129" s="91" t="s">
        <v>83</v>
      </c>
      <c r="D129" s="9"/>
    </row>
    <row r="130" spans="1:4" x14ac:dyDescent="0.25">
      <c r="A130" s="1" t="s">
        <v>39</v>
      </c>
      <c r="B130" s="2">
        <v>3</v>
      </c>
      <c r="C130" s="92" t="s">
        <v>84</v>
      </c>
      <c r="D130" s="10"/>
    </row>
    <row r="131" spans="1:4" x14ac:dyDescent="0.25">
      <c r="A131" s="1" t="s">
        <v>39</v>
      </c>
      <c r="B131" s="2">
        <v>2</v>
      </c>
      <c r="C131" s="92" t="s">
        <v>85</v>
      </c>
      <c r="D131" s="10"/>
    </row>
    <row r="132" spans="1:4" x14ac:dyDescent="0.25">
      <c r="A132" s="1" t="s">
        <v>30</v>
      </c>
      <c r="B132" s="2">
        <v>3</v>
      </c>
      <c r="C132" s="92" t="s">
        <v>86</v>
      </c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90" t="s">
        <v>51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30</v>
      </c>
      <c r="B143" s="4">
        <v>3</v>
      </c>
      <c r="C143" s="91" t="s">
        <v>87</v>
      </c>
      <c r="D143" s="9"/>
    </row>
    <row r="144" spans="1:4" x14ac:dyDescent="0.25">
      <c r="A144" s="1" t="s">
        <v>44</v>
      </c>
      <c r="B144" s="2">
        <v>9</v>
      </c>
      <c r="C144" s="92" t="s">
        <v>88</v>
      </c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90" t="s">
        <v>51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90" t="s">
        <v>51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90" t="s">
        <v>51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90" t="s">
        <v>51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90" t="s">
        <v>51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90" t="s">
        <v>51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90" t="s">
        <v>51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90" t="s">
        <v>51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90" t="s">
        <v>51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9" t="s">
        <v>52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00000000-0002-0000-06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00000000-0002-0000-06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6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Alexis Rojas</cp:lastModifiedBy>
  <cp:lastPrinted>2013-08-29T11:33:15Z</cp:lastPrinted>
  <dcterms:created xsi:type="dcterms:W3CDTF">1996-10-21T11:03:58Z</dcterms:created>
  <dcterms:modified xsi:type="dcterms:W3CDTF">2021-12-14T19:11:42Z</dcterms:modified>
</cp:coreProperties>
</file>